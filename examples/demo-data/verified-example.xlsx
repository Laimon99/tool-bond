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51ac5d2ad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1931494529f40c1"/>
    <x:sheet xmlns:r="http://schemas.openxmlformats.org/officeDocument/2006/relationships" name="Inputs" sheetId="2" r:id="R3c1f783eadf647fa"/>
    <x:sheet xmlns:r="http://schemas.openxmlformats.org/officeDocument/2006/relationships" name="Calculation" sheetId="3" r:id="R38fe9eecab674d52"/>
    <x:sheet xmlns:r="http://schemas.openxmlformats.org/officeDocument/2006/relationships" name="Checks" sheetId="4" r:id="Racca3df1c1e542fe"/>
  </x:sheets>
</x:workbook>
</file>

<file path=xl/comments1.xml><?xml version="1.0" encoding="utf-8"?>
<x:comments xmlns:x="http://schemas.openxmlformats.org/spreadsheetml/2006/main">
  <x:authors>
    <x:author>tc={2F80C67F-F314-46DF-B514-CBFA6C2B75BE}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demonstration input; not sourced from a client or market-data provider.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;[Red]($#,##0);-"/>
    <x:numFmt numFmtId="202" formatCode="$#,##0"/>
    <x:numFmt numFmtId="203" formatCode="0.0000"/>
    <x:numFmt numFmtId="204" formatCode="0.00"/>
    <x:numFmt numFmtId="205" formatCode="#,##0.00;[Red](#,##0.00);-"/>
    <x:numFmt numFmtId="206" formatCode="$#,##0.00;[Red]($#,##0.00);-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33C"/>
      <x:name val="Carlito"/>
    </x:font>
    <x:font>
      <x:sz val="11"/>
      <x:color rgb="FF17233C"/>
      <x:name val="Carlito"/>
    </x:font>
    <x:font>
      <x:sz val="11"/>
      <x:color rgb="FF6B4F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67D78"/>
      </x:patternFill>
    </x:fill>
    <x:fill>
      <x:patternFill patternType="solid">
        <x:fgColor rgb="FFFFF4D6"/>
      </x:patternFill>
    </x:fill>
    <x:fill>
      <x:patternFill patternType="solid">
        <x:fgColor rgb="FFEAF4F2"/>
      </x:patternFill>
    </x:fill>
  </x:fills>
  <x:borders count="21">
    <x:border/>
    <x:border>
      <x:left style="thin">
        <x:color rgb="FFC9D6D3"/>
      </x:left>
      <x:right style="thin">
        <x:color rgb="FFC9D6D3"/>
      </x:right>
      <x:top style="thin">
        <x:color rgb="FFC9D6D3"/>
      </x:top>
    </x:border>
    <x:border>
      <x:left style="thin">
        <x:color rgb="FFC9D6D3"/>
      </x:left>
      <x:right style="thin">
        <x:color rgb="FFC9D6D3"/>
      </x:right>
    </x:border>
    <x:border>
      <x:left style="thin">
        <x:color rgb="FFC9D6D3"/>
      </x:left>
      <x:right style="thin">
        <x:color rgb="FFC9D6D3"/>
      </x:right>
      <x:bottom style="thin">
        <x:color rgb="FFC9D6D3"/>
      </x:bottom>
    </x:border>
    <x:border>
      <x:left style="thin">
        <x:color rgb="FFC9D6D3"/>
      </x:left>
      <x:right style="thin">
        <x:color rgb="FFC9D6D3"/>
      </x:right>
      <x:top style="thin">
        <x:color rgb="FFC9D6D3"/>
      </x:top>
      <x:bottom style="thin">
        <x:color rgb="FFE5ECEA"/>
      </x:bottom>
    </x:border>
    <x:border>
      <x:right style="thin">
        <x:color rgb="FFC9D6D3"/>
      </x:right>
      <x:top style="thin">
        <x:color rgb="FFC9D6D3"/>
      </x:top>
      <x:bottom style="thin">
        <x:color rgb="FFE5ECEA"/>
      </x:bottom>
    </x:border>
    <x:border>
      <x:left style="thin">
        <x:color rgb="FFC9D6D3"/>
      </x:left>
      <x:right style="thin">
        <x:color rgb="FFC9D6D3"/>
      </x:right>
      <x:top style="thin">
        <x:color rgb="FFE5ECEA"/>
      </x:top>
      <x:bottom style="thin">
        <x:color rgb="FFE5ECEA"/>
      </x:bottom>
    </x:border>
    <x:border>
      <x:right style="thin">
        <x:color rgb="FFC9D6D3"/>
      </x:right>
      <x:top style="thin">
        <x:color rgb="FFE5ECEA"/>
      </x:top>
      <x:bottom style="thin">
        <x:color rgb="FFE5ECEA"/>
      </x:bottom>
    </x:border>
    <x:border>
      <x:left style="thin">
        <x:color rgb="FFC9D6D3"/>
      </x:left>
      <x:right style="thin">
        <x:color rgb="FFC9D6D3"/>
      </x:right>
      <x:top style="thin">
        <x:color rgb="FFE5ECEA"/>
      </x:top>
      <x:bottom style="thin">
        <x:color rgb="FFC9D6D3"/>
      </x:bottom>
    </x:border>
    <x:border>
      <x:right style="thin">
        <x:color rgb="FFC9D6D3"/>
      </x:right>
      <x:top style="thin">
        <x:color rgb="FFE5ECEA"/>
      </x:top>
      <x:bottom style="thin">
        <x:color rgb="FFC9D6D3"/>
      </x:bottom>
    </x:border>
    <x:border>
      <x:left style="thin">
        <x:color rgb="FFC9D6D3"/>
      </x:left>
      <x:top style="thin">
        <x:color rgb="FFC9D6D3"/>
      </x:top>
      <x:bottom style="thin">
        <x:color rgb="FFC9D6D3"/>
      </x:bottom>
    </x:border>
    <x:border>
      <x:top style="thin">
        <x:color rgb="FFC9D6D3"/>
      </x:top>
      <x:bottom style="thin">
        <x:color rgb="FFC9D6D3"/>
      </x:bottom>
    </x:border>
    <x:border>
      <x:right style="thin">
        <x:color rgb="FFC9D6D3"/>
      </x:right>
      <x:top style="thin">
        <x:color rgb="FFC9D6D3"/>
      </x:top>
      <x:bottom style="thin">
        <x:color rgb="FFC9D6D3"/>
      </x:bottom>
    </x:border>
    <x:border>
      <x:left style="thin">
        <x:color rgb="FFC9D6D3"/>
      </x:left>
      <x:top style="thin">
        <x:color rgb="FFC9D6D3"/>
      </x:top>
      <x:bottom style="thin">
        <x:color rgb="FFE5ECEA"/>
      </x:bottom>
    </x:border>
    <x:border>
      <x:top style="thin">
        <x:color rgb="FFC9D6D3"/>
      </x:top>
      <x:bottom style="thin">
        <x:color rgb="FFE5ECEA"/>
      </x:bottom>
    </x:border>
    <x:border>
      <x:left style="thin">
        <x:color rgb="FFC9D6D3"/>
      </x:left>
      <x:top style="thin">
        <x:color rgb="FFE5ECEA"/>
      </x:top>
      <x:bottom style="thin">
        <x:color rgb="FFE5ECEA"/>
      </x:bottom>
    </x:border>
    <x:border>
      <x:top style="thin">
        <x:color rgb="FFE5ECEA"/>
      </x:top>
      <x:bottom style="thin">
        <x:color rgb="FFE5ECEA"/>
      </x:bottom>
    </x:border>
    <x:border>
      <x:left style="thin">
        <x:color rgb="FFC9D6D3"/>
      </x:left>
      <x:top style="thin">
        <x:color rgb="FFE5ECEA"/>
      </x:top>
      <x:bottom style="thin">
        <x:color rgb="FFC9D6D3"/>
      </x:bottom>
    </x:border>
    <x:border>
      <x:top style="thin">
        <x:color rgb="FFE5ECEA"/>
      </x:top>
      <x:bottom style="thin">
        <x:color rgb="FFC9D6D3"/>
      </x:bottom>
    </x:border>
    <x:border>
      <x:left style="thin">
        <x:color rgb="FFC9D6D3"/>
      </x:left>
      <x:top style="double">
        <x:color rgb="FF17233C"/>
      </x:top>
      <x:bottom style="thin">
        <x:color rgb="FFC9D6D3"/>
      </x:bottom>
    </x:border>
    <x:border>
      <x:top style="double">
        <x:color rgb="FF17233C"/>
      </x:top>
      <x:bottom style="thin">
        <x:color rgb="FFC9D6D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4" fillId="0" borderId="5" xfId="0" applyNumberFormat="1" applyFont="1" applyFill="1" applyBorder="1"/>
    <x:xf numFmtId="0" fontId="3" fillId="3" borderId="6" xfId="0" applyNumberFormat="1" applyFont="1" applyFill="1" applyBorder="1"/>
    <x:xf numFmtId="0" fontId="4" fillId="0" borderId="7" xfId="0" applyNumberFormat="1" applyFont="1" applyFill="1" applyBorder="1"/>
    <x:xf numFmtId="0" fontId="3" fillId="3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6" fillId="0" borderId="16" xfId="0" applyNumberFormat="1" applyFont="1" applyFill="1" applyBorder="1"/>
    <x:xf numFmtId="0" fontId="6" fillId="0" borderId="18" xfId="0" applyNumberFormat="1" applyFont="1" applyFill="1" applyBorder="1"/>
    <x:xf numFmtId="202" fontId="6" fillId="0" borderId="16" xfId="0" applyNumberFormat="1" applyFont="1" applyFill="1" applyBorder="1"/>
    <x:xf numFmtId="203" fontId="6" fillId="0" borderId="16" xfId="0" applyNumberFormat="1" applyFont="1" applyFill="1" applyBorder="1"/>
    <x:xf numFmtId="203" fontId="6" fillId="0" borderId="18" xfId="0" applyNumberFormat="1" applyFont="1" applyFill="1" applyBorder="1"/>
    <x:xf numFmtId="204" fontId="6" fillId="0" borderId="16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7" fillId="0" borderId="16" xfId="0" applyNumberFormat="1" applyFont="1" applyFill="1" applyBorder="1"/>
    <x:xf numFmtId="0" fontId="7" fillId="0" borderId="18" xfId="0" applyNumberFormat="1" applyFont="1" applyFill="1" applyBorder="1"/>
    <x:xf numFmtId="204" fontId="7" fillId="0" borderId="16" xfId="0" applyNumberFormat="1" applyFont="1" applyFill="1" applyBorder="1"/>
    <x:xf numFmtId="205" fontId="7" fillId="0" borderId="16" xfId="0" applyNumberFormat="1" applyFont="1" applyFill="1" applyBorder="1"/>
    <x:xf numFmtId="206" fontId="7" fillId="0" borderId="16" xfId="0" applyNumberFormat="1" applyFont="1" applyFill="1" applyBorder="1"/>
    <x:xf numFmtId="206" fontId="7" fillId="0" borderId="18" xfId="0" applyNumberFormat="1" applyFont="1" applyFill="1" applyBorder="1"/>
    <x:xf numFmtId="0" fontId="4" fillId="0" borderId="19" xfId="0" applyNumberFormat="1" applyFont="1" applyFill="1" applyBorder="1"/>
    <x:xf numFmtId="206" fontId="7" fillId="0" borderId="20" xfId="0" applyNumberFormat="1" applyFont="1" applyFill="1" applyBorder="1"/>
    <x:xf numFmtId="0" fontId="4" fillId="0" borderId="20" xfId="0" applyNumberFormat="1" applyFont="1" applyFill="1" applyBorder="1"/>
    <x:xf numFmtId="0" fontId="3" fillId="0" borderId="19" xfId="0" applyNumberFormat="1" applyFont="1" applyFill="1" applyBorder="1"/>
    <x:xf numFmtId="206" fontId="8" fillId="0" borderId="20" xfId="0" applyNumberFormat="1" applyFont="1" applyFill="1" applyBorder="1"/>
    <x:xf numFmtId="0" fontId="3" fillId="0" borderId="20" xfId="0" applyNumberFormat="1" applyFont="1" applyFill="1" applyBorder="1"/>
    <x:xf numFmtId="205" fontId="4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</x:cellXfs>
  <x:cellStyles count="1">
    <x:cellStyle name="Normal" xfId="0"/>
  </x:cellStyles>
  <x:dxfs count="2">
    <x:dxf>
      <x:font>
        <x:b/>
        <x:color rgb="FF17643A"/>
      </x:font>
      <x:fill>
        <x:patternFill patternType="solid">
          <x:bgColor rgb="FFE7F5ED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e169492d045dc" /><Relationship Type="http://schemas.openxmlformats.org/officeDocument/2006/relationships/theme" Target="/xl/theme/theme1.xml" Id="R495cb14ac7f040f0" /><Relationship Type="http://schemas.openxmlformats.org/officeDocument/2006/relationships/sharedStrings" Target="/xl/sharedStrings.xml" Id="R7a7e29fede224a66" /><Relationship Type="http://schemas.openxmlformats.org/officeDocument/2006/relationships/worksheet" Target="/xl/worksheets/sheet1.xml" Id="Rf1931494529f40c1" /><Relationship Type="http://schemas.openxmlformats.org/officeDocument/2006/relationships/worksheet" Target="/xl/worksheets/sheet2.xml" Id="R3c1f783eadf647fa" /><Relationship Type="http://schemas.openxmlformats.org/officeDocument/2006/relationships/worksheet" Target="/xl/worksheets/sheet3.xml" Id="R38fe9eecab674d52" /><Relationship Type="http://schemas.openxmlformats.org/officeDocument/2006/relationships/worksheet" Target="/xl/worksheets/sheet4.xml" Id="Racca3df1c1e542fe" /><Relationship Type="http://schemas.microsoft.com/office/2017/10/relationships/person" Target="/xl/persons/person.xml" Id="Rcbaff29d16d04359" /></Relationships>
</file>

<file path=xl/persons/person.xml><?xml version="1.0" encoding="utf-8"?>
<xltc:personList xmlns:xltc="http://schemas.microsoft.com/office/spreadsheetml/2018/threadedcomments">
  <xltc:person displayName="Laimon99" id="{E438F3CC-CA26-4A17-9064-117914F4EE8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28T07:58:10.39" personId="{E438F3CC-CA26-4A17-9064-117914F4EE87}" id="{2F80C67F-F314-46DF-B514-CBFA6C2B75BE}">
    <xltc:text>Synthetic demonstration input; not sourced from a client or market-data provider.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205fb201c2f4491" /><Relationship Type="http://schemas.openxmlformats.org/officeDocument/2006/relationships/vmlDrawing" Target="/xl/drawings/vmldrawing.vml" Id="R7d2dafb1f6b94449" /><Relationship Type="http://schemas.microsoft.com/office/2017/10/relationships/threadedComment" Target="/xl/threadedcomments/threadedcomment.xml" Id="R9087978a587d4f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3" t="str">
        <x:v>BondFX independently checkable example</x:v>
      </x:c>
      <x:c r="B1" s="3" t="str">
        <x:v>BondFX independently checkable example</x:v>
      </x:c>
      <x:c r="C1" s="3" t="str">
        <x:v>BondFX independently checkable example</x:v>
      </x:c>
      <x:c r="D1" s="3" t="str">
        <x:v>BondFX independently checkable example</x:v>
      </x:c>
      <x:c r="E1" s="3" t="str">
        <x:v>BondFX independently checkable example</x:v>
      </x:c>
      <x:c r="F1" s="3" t="str">
        <x:v>BondFX independently checkable example</x:v>
      </x:c>
    </x:row>
    <x:row r="3">
      <x:c r="A3" t="str">
        <x:v>A one-period zero-coupon example designed so every result can be verified with a calculator.</x:v>
      </x:c>
      <x:c r="B3" t="str">
        <x:v>A one-period zero-coupon example designed so every result can be verified with a calculator.</x:v>
      </x:c>
      <x:c r="C3" t="str">
        <x:v>A one-period zero-coupon example designed so every result can be verified with a calculator.</x:v>
      </x:c>
      <x:c r="D3" t="str">
        <x:v>A one-period zero-coupon example designed so every result can be verified with a calculator.</x:v>
      </x:c>
      <x:c r="E3" t="str">
        <x:v>A one-period zero-coupon example designed so every result can be verified with a calculator.</x:v>
      </x:c>
      <x:c r="F3" t="str">
        <x:v>A one-period zero-coupon example designed so every result can be verified with a calculator.</x:v>
      </x:c>
    </x:row>
    <x:row r="5">
      <x:c r="A5" s="13" t="str">
        <x:v>Version</x:v>
      </x:c>
      <x:c r="B5" s="14" t="str">
        <x:v>0.2.0</x:v>
      </x:c>
    </x:row>
    <x:row r="6">
      <x:c r="A6" s="15" t="str">
        <x:v>Valuation date</x:v>
      </x:c>
      <x:c r="B6" s="19" t="n">
        <x:v>46073</x:v>
      </x:c>
    </x:row>
    <x:row r="7">
      <x:c r="A7" s="15" t="str">
        <x:v>Currency</x:v>
      </x:c>
      <x:c r="B7" s="16" t="str">
        <x:v>USD / TRY</x:v>
      </x:c>
    </x:row>
    <x:row r="8">
      <x:c r="A8" s="15" t="str">
        <x:v>Model scope</x:v>
      </x:c>
      <x:c r="B8" s="16" t="str">
        <x:v>Educational PoC</x:v>
      </x:c>
    </x:row>
    <x:row r="9">
      <x:c r="A9" s="15" t="str">
        <x:v>Expected NPV</x:v>
      </x:c>
      <x:c r="B9" s="20" t="n">
        <x:v>-24000</x:v>
      </x:c>
    </x:row>
    <x:row r="10">
      <x:c r="A10" s="17" t="str">
        <x:v>Model status</x:v>
      </x:c>
      <x:c r="B10" s="18" t="str">
        <x:v>See Checks sheet</x:v>
      </x:c>
    </x:row>
    <x:row r="12">
      <x:c r="A12" s="23" t="str">
        <x:v>Not investment advice. The example excludes transaction costs, taxes, liquidity, counterparty risk and market-data uncertainty.</x:v>
      </x:c>
      <x:c r="B12" s="23" t="str">
        <x:v>Not investment advice. The example excludes transaction costs, taxes, liquidity, counterparty risk and market-data uncertainty.</x:v>
      </x:c>
      <x:c r="C12" s="23" t="str">
        <x:v>Not investment advice. The example excludes transaction costs, taxes, liquidity, counterparty risk and market-data uncertainty.</x:v>
      </x:c>
      <x:c r="D12" s="23" t="str">
        <x:v>Not investment advice. The example excludes transaction costs, taxes, liquidity, counterparty risk and market-data uncertainty.</x:v>
      </x:c>
      <x:c r="E12" s="23" t="str">
        <x:v>Not investment advice. The example excludes transaction costs, taxes, liquidity, counterparty risk and market-data uncertainty.</x:v>
      </x:c>
      <x:c r="F12" s="23" t="str">
        <x:v>Not investment advice. The example excludes transaction costs, taxes, liquidity, counterparty risk and market-data uncertainty.</x:v>
      </x:c>
    </x:row>
    <x:row r="13">
      <x:c r="A13" s="23" t="str">
        <x:v>Not investment advice. The example excludes transaction costs, taxes, liquidity, counterparty risk and market-data uncertainty.</x:v>
      </x:c>
      <x:c r="B13" s="23" t="str">
        <x:v>Not investment advice. The example excludes transaction costs, taxes, liquidity, counterparty risk and market-data uncertainty.</x:v>
      </x:c>
      <x:c r="C13" s="23" t="str">
        <x:v>Not investment advice. The example excludes transaction costs, taxes, liquidity, counterparty risk and market-data uncertainty.</x:v>
      </x:c>
      <x:c r="D13" s="23" t="str">
        <x:v>Not investment advice. The example excludes transaction costs, taxes, liquidity, counterparty risk and market-data uncertainty.</x:v>
      </x:c>
      <x:c r="E13" s="23" t="str">
        <x:v>Not investment advice. The example excludes transaction costs, taxes, liquidity, counterparty risk and market-data uncertainty.</x:v>
      </x:c>
      <x:c r="F13" s="23" t="str">
        <x:v>Not investment advice. The example excludes transaction costs, taxes, liquidity, counterparty risk and market-data uncertainty.</x:v>
      </x:c>
    </x:row>
    <x:row r="14">
      <x:c r="A14" s="23" t="str">
        <x:v>Not investment advice. The example excludes transaction costs, taxes, liquidity, counterparty risk and market-data uncertainty.</x:v>
      </x:c>
      <x:c r="B14" s="23" t="str">
        <x:v>Not investment advice. The example excludes transaction costs, taxes, liquidity, counterparty risk and market-data uncertainty.</x:v>
      </x:c>
      <x:c r="C14" s="23" t="str">
        <x:v>Not investment advice. The example excludes transaction costs, taxes, liquidity, counterparty risk and market-data uncertainty.</x:v>
      </x:c>
      <x:c r="D14" s="23" t="str">
        <x:v>Not investment advice. The example excludes transaction costs, taxes, liquidity, counterparty risk and market-data uncertainty.</x:v>
      </x:c>
      <x:c r="E14" s="23" t="str">
        <x:v>Not investment advice. The example excludes transaction costs, taxes, liquidity, counterparty risk and market-data uncertainty.</x:v>
      </x:c>
      <x:c r="F14" s="23" t="str">
        <x:v>Not investment advice. The example excludes transaction costs, taxes, liquidity, counterparty risk and market-data uncertainty.</x:v>
      </x:c>
    </x:row>
  </x:sheetData>
  <x:mergeCells>
    <x:mergeCell ref="A1:F1"/>
    <x:mergeCell ref="A3:F3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30" customHeight="1">
      <x:c r="A1" s="3" t="str">
        <x:v>Inputs</x:v>
      </x:c>
      <x:c r="B1" s="3" t="str">
        <x:v>Inputs</x:v>
      </x:c>
      <x:c r="C1" s="3" t="str">
        <x:v>Inputs</x:v>
      </x:c>
      <x:c r="D1" s="3" t="str">
        <x:v>Inputs</x:v>
      </x:c>
    </x:row>
    <x:row r="3">
      <x:c r="A3" s="30" t="str">
        <x:v>Input</x:v>
      </x:c>
      <x:c r="B3" s="31" t="str">
        <x:v>Value</x:v>
      </x:c>
      <x:c r="C3" s="31" t="str">
        <x:v>Units</x:v>
      </x:c>
      <x:c r="D3" s="31" t="str">
        <x:v>Source / rationale</x:v>
      </x:c>
    </x:row>
    <x:row r="4">
      <x:c r="A4" s="32" t="str">
        <x:v>USD budget</x:v>
      </x:c>
      <x:c r="B4" s="38" t="n">
        <x:v>100000</x:v>
      </x:c>
      <x:c r="C4" s="33" t="str">
        <x:v>USD</x:v>
      </x:c>
      <x:c r="D4" s="33" t="str">
        <x:v>Synthetic</x:v>
      </x:c>
    </x:row>
    <x:row r="5">
      <x:c r="A5" s="32" t="str">
        <x:v>Spot USDTRY</x:v>
      </x:c>
      <x:c r="B5" s="39" t="n">
        <x:v>40</x:v>
      </x:c>
      <x:c r="C5" s="33" t="str">
        <x:v>TRY per USD</x:v>
      </x:c>
      <x:c r="D5" s="33" t="str">
        <x:v>Synthetic</x:v>
      </x:c>
    </x:row>
    <x:row r="6">
      <x:c r="A6" s="32" t="str">
        <x:v>Clean price</x:v>
      </x:c>
      <x:c r="B6" s="41" t="n">
        <x:v>100</x:v>
      </x:c>
      <x:c r="C6" s="33" t="str">
        <x:v>% of par</x:v>
      </x:c>
      <x:c r="D6" s="33" t="str">
        <x:v>Synthetic</x:v>
      </x:c>
    </x:row>
    <x:row r="7">
      <x:c r="A7" s="32" t="str">
        <x:v>Accrued interest</x:v>
      </x:c>
      <x:c r="B7" s="41" t="n">
        <x:v>0</x:v>
      </x:c>
      <x:c r="C7" s="33" t="str">
        <x:v>% of par</x:v>
      </x:c>
      <x:c r="D7" s="33" t="str">
        <x:v>Zero-coupon example</x:v>
      </x:c>
    </x:row>
    <x:row r="8">
      <x:c r="A8" s="32" t="str">
        <x:v>Face value per unit</x:v>
      </x:c>
      <x:c r="B8" s="39" t="n">
        <x:v>100</x:v>
      </x:c>
      <x:c r="C8" s="33" t="str">
        <x:v>TRY</x:v>
      </x:c>
      <x:c r="D8" s="33" t="str">
        <x:v>Synthetic</x:v>
      </x:c>
    </x:row>
    <x:row r="9">
      <x:c r="A9" s="32" t="str">
        <x:v>FX forward ask</x:v>
      </x:c>
      <x:c r="B9" s="39" t="n">
        <x:v>50</x:v>
      </x:c>
      <x:c r="C9" s="33" t="str">
        <x:v>TRY per USD</x:v>
      </x:c>
      <x:c r="D9" s="33" t="str">
        <x:v>Synthetic executable side</x:v>
      </x:c>
    </x:row>
    <x:row r="10">
      <x:c r="A10" s="34" t="str">
        <x:v>USD discount factor</x:v>
      </x:c>
      <x:c r="B10" s="40" t="n">
        <x:v>0.95</x:v>
      </x:c>
      <x:c r="C10" s="35" t="str">
        <x:v>factor</x:v>
      </x:c>
      <x:c r="D10" s="35" t="str">
        <x:v>Synthetic</x:v>
      </x:c>
    </x:row>
    <x:row r="12">
      <x:c r="A12" s="43" t="str">
        <x:v>All values are deliberately synthetic. Blue cells are editable assumptions; formulas on other sheets reference them.</x:v>
      </x:c>
      <x:c r="B12" s="43" t="str">
        <x:v>All values are deliberately synthetic. Blue cells are editable assumptions; formulas on other sheets reference them.</x:v>
      </x:c>
      <x:c r="C12" s="43" t="str">
        <x:v>All values are deliberately synthetic. Blue cells are editable assumptions; formulas on other sheets reference them.</x:v>
      </x:c>
      <x:c r="D12" s="43" t="str">
        <x:v>All values are deliberately synthetic. Blue cells are editable assumptions; formulas on other sheets reference them.</x:v>
      </x:c>
    </x:row>
    <x:row r="13">
      <x:c r="A13" s="43" t="str">
        <x:v>All values are deliberately synthetic. Blue cells are editable assumptions; formulas on other sheets reference them.</x:v>
      </x:c>
      <x:c r="B13" s="43" t="str">
        <x:v>All values are deliberately synthetic. Blue cells are editable assumptions; formulas on other sheets reference them.</x:v>
      </x:c>
      <x:c r="C13" s="43" t="str">
        <x:v>All values are deliberately synthetic. Blue cells are editable assumptions; formulas on other sheets reference them.</x:v>
      </x:c>
      <x:c r="D13" s="43" t="str">
        <x:v>All values are deliberately synthetic. Blue cells are editable assumptions; formulas on other sheets reference them.</x:v>
      </x:c>
    </x:row>
    <x:row r="14">
      <x:c r="A14" s="43" t="str">
        <x:v>All values are deliberately synthetic. Blue cells are editable assumptions; formulas on other sheets reference them.</x:v>
      </x:c>
      <x:c r="B14" s="43" t="str">
        <x:v>All values are deliberately synthetic. Blue cells are editable assumptions; formulas on other sheets reference them.</x:v>
      </x:c>
      <x:c r="C14" s="43" t="str">
        <x:v>All values are deliberately synthetic. Blue cells are editable assumptions; formulas on other sheets reference them.</x:v>
      </x:c>
      <x:c r="D14" s="43" t="str">
        <x:v>All values are deliberately synthetic. Blue cells are editable assumptions; formulas on other sheets reference them.</x:v>
      </x:c>
    </x:row>
  </x:sheetData>
  <x:mergeCells>
    <x:mergeCell ref="A1:D1"/>
    <x:mergeCell ref="A12:D14"/>
  </x:mergeCells>
  <x:pageMargins left="0.7" right="0.7" top="0.75" bottom="0.75" header="0.3" footer="0.3"/>
  <x:legacyDrawing xmlns:r="http://schemas.openxmlformats.org/officeDocument/2006/relationships" r:id="R7d2dafb1f6b9444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42" hidden="0" customWidth="1"/>
  </x:cols>
  <x:sheetData>
    <x:row r="1" ht="30" customHeight="1">
      <x:c r="A1" s="3" t="str">
        <x:v>Calculation</x:v>
      </x:c>
      <x:c r="B1" s="3" t="str">
        <x:v>Calculation</x:v>
      </x:c>
      <x:c r="C1" s="3" t="str">
        <x:v>Calculation</x:v>
      </x:c>
      <x:c r="D1" s="3" t="str">
        <x:v>Calculation</x:v>
      </x:c>
    </x:row>
    <x:row r="3">
      <x:c r="A3" s="30" t="str">
        <x:v>Step</x:v>
      </x:c>
      <x:c r="B3" s="31" t="str">
        <x:v>Formula result</x:v>
      </x:c>
      <x:c r="C3" s="31" t="str">
        <x:v>Units</x:v>
      </x:c>
      <x:c r="D3" s="31" t="str">
        <x:v>Definition</x:v>
      </x:c>
    </x:row>
    <x:row r="4">
      <x:c r="A4" s="32" t="str">
        <x:v>Dirty price</x:v>
      </x:c>
      <x:c r="B4" s="46" t="n">
        <x:f>'Inputs'!B6+'Inputs'!B7</x:f>
        <x:v>100</x:v>
      </x:c>
      <x:c r="C4" s="33" t="str">
        <x:v>% of par</x:v>
      </x:c>
      <x:c r="D4" s="33" t="str">
        <x:v>Clean price plus accrued interest</x:v>
      </x:c>
    </x:row>
    <x:row r="5">
      <x:c r="A5" s="32" t="str">
        <x:v>TRY available</x:v>
      </x:c>
      <x:c r="B5" s="47" t="n">
        <x:f>'Inputs'!B4*'Inputs'!B5</x:f>
        <x:v>4000000</x:v>
      </x:c>
      <x:c r="C5" s="33" t="str">
        <x:v>TRY</x:v>
      </x:c>
      <x:c r="D5" s="33" t="str">
        <x:v>Initial USD budget converted at spot</x:v>
      </x:c>
    </x:row>
    <x:row r="6">
      <x:c r="A6" s="32" t="str">
        <x:v>Cost per unit</x:v>
      </x:c>
      <x:c r="B6" s="47" t="n">
        <x:f>B4*'Inputs'!B8/100</x:f>
        <x:v>100</x:v>
      </x:c>
      <x:c r="C6" s="33" t="str">
        <x:v>TRY / unit</x:v>
      </x:c>
      <x:c r="D6" s="33" t="str">
        <x:v>Dirty price times face value</x:v>
      </x:c>
    </x:row>
    <x:row r="7">
      <x:c r="A7" s="32" t="str">
        <x:v>Units purchased</x:v>
      </x:c>
      <x:c r="B7" s="47" t="n">
        <x:f>B5/B6</x:f>
        <x:v>40000</x:v>
      </x:c>
      <x:c r="C7" s="33" t="str">
        <x:v>units</x:v>
      </x:c>
      <x:c r="D7" s="33" t="str">
        <x:v>TRY available divided by cost per unit</x:v>
      </x:c>
    </x:row>
    <x:row r="8">
      <x:c r="A8" s="32" t="str">
        <x:v>Notional</x:v>
      </x:c>
      <x:c r="B8" s="47" t="n">
        <x:f>B7*'Inputs'!B8</x:f>
        <x:v>4000000</x:v>
      </x:c>
      <x:c r="C8" s="33" t="str">
        <x:v>TRY</x:v>
      </x:c>
      <x:c r="D8" s="33" t="str">
        <x:v>Units times face value</x:v>
      </x:c>
    </x:row>
    <x:row r="9">
      <x:c r="A9" s="32" t="str">
        <x:v>TRY maturity cash flow</x:v>
      </x:c>
      <x:c r="B9" s="47" t="n">
        <x:f>B8</x:f>
        <x:v>4000000</x:v>
      </x:c>
      <x:c r="C9" s="33" t="str">
        <x:v>TRY</x:v>
      </x:c>
      <x:c r="D9" s="33" t="str">
        <x:v>Zero-coupon principal repayment</x:v>
      </x:c>
    </x:row>
    <x:row r="10">
      <x:c r="A10" s="32" t="str">
        <x:v>USD cash flow</x:v>
      </x:c>
      <x:c r="B10" s="48" t="n">
        <x:f>B9/'Inputs'!B9</x:f>
        <x:v>80000</x:v>
      </x:c>
      <x:c r="C10" s="33" t="str">
        <x:v>USD</x:v>
      </x:c>
      <x:c r="D10" s="33" t="str">
        <x:v>TRY cash flow divided by USDTRY ask</x:v>
      </x:c>
    </x:row>
    <x:row r="11">
      <x:c r="A11" s="32" t="str">
        <x:v>PV of USD cash flow</x:v>
      </x:c>
      <x:c r="B11" s="48" t="n">
        <x:f>B10*'Inputs'!B10</x:f>
        <x:v>76000</x:v>
      </x:c>
      <x:c r="C11" s="33" t="str">
        <x:v>USD</x:v>
      </x:c>
      <x:c r="D11" s="33" t="str">
        <x:v>USD cash flow times USD discount factor</x:v>
      </x:c>
    </x:row>
    <x:row r="12">
      <x:c r="A12" s="53" t="str">
        <x:v>NPV</x:v>
      </x:c>
      <x:c r="B12" s="54" t="n">
        <x:f>B11-'Inputs'!B4</x:f>
        <x:v>-24000</x:v>
      </x:c>
      <x:c r="C12" s="55" t="str">
        <x:v>USD</x:v>
      </x:c>
      <x:c r="D12" s="55" t="str">
        <x:v>PV minus initial USD budget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38" hidden="0" customWidth="1"/>
  </x:cols>
  <x:sheetData>
    <x:row r="1" ht="30" customHeight="1">
      <x:c r="A1" s="3" t="str">
        <x:v>Checks</x:v>
      </x:c>
      <x:c r="B1" s="3" t="str">
        <x:v>Checks</x:v>
      </x:c>
      <x:c r="C1" s="3" t="str">
        <x:v>Checks</x:v>
      </x:c>
      <x:c r="D1" s="3" t="str">
        <x:v>Checks</x:v>
      </x:c>
      <x:c r="E1" s="3" t="str">
        <x:v>Checks</x:v>
      </x:c>
      <x:c r="F1" s="3" t="str">
        <x:v>Checks</x:v>
      </x:c>
      <x:c r="G1" s="3" t="str">
        <x:v>Checks</x:v>
      </x:c>
    </x:row>
    <x:row r="3">
      <x:c r="A3" s="30" t="str">
        <x:v>Check</x:v>
      </x:c>
      <x:c r="B3" s="31" t="str">
        <x:v>Actual</x:v>
      </x:c>
      <x:c r="C3" s="31" t="str">
        <x:v>Expected</x:v>
      </x:c>
      <x:c r="D3" s="31" t="str">
        <x:v>Difference</x:v>
      </x:c>
      <x:c r="E3" s="31" t="str">
        <x:v>Tolerance</x:v>
      </x:c>
      <x:c r="F3" s="31" t="str">
        <x:v>Status</x:v>
      </x:c>
      <x:c r="G3" s="31" t="str">
        <x:v>Notes</x:v>
      </x:c>
    </x:row>
    <x:row r="4">
      <x:c r="A4" s="32" t="str">
        <x:v>NPV agrees with hand calculation</x:v>
      </x:c>
      <x:c r="B4" s="56" t="n">
        <x:f>'Calculation'!B12</x:f>
        <x:v>-24000</x:v>
      </x:c>
      <x:c r="C4" s="56" t="n">
        <x:v>-24000</x:v>
      </x:c>
      <x:c r="D4" s="56" t="n">
        <x:f>B4-C4</x:f>
        <x:v>0</x:v>
      </x:c>
      <x:c r="E4" s="56" t="n">
        <x:v>0.01</x:v>
      </x:c>
      <x:c r="F4" s="33" t="str">
        <x:f>IF(ABS(D4)&lt;=E4,"OK","FAIL")</x:f>
        <x:v>OK</x:v>
      </x:c>
      <x:c r="G4" s="33" t="str">
        <x:v>100,000 × 40 ÷ 50 × 0.95 − 100,000</x:v>
      </x:c>
    </x:row>
    <x:row r="5">
      <x:c r="A5" s="32" t="str">
        <x:v>PV equals discounted USD cash flow</x:v>
      </x:c>
      <x:c r="B5" s="56" t="n">
        <x:f>'Calculation'!B11</x:f>
        <x:v>76000</x:v>
      </x:c>
      <x:c r="C5" s="56" t="n">
        <x:v>76000</x:v>
      </x:c>
      <x:c r="D5" s="56" t="n">
        <x:f>B5-C5</x:f>
        <x:v>0</x:v>
      </x:c>
      <x:c r="E5" s="56" t="n">
        <x:v>0.01</x:v>
      </x:c>
      <x:c r="F5" s="33" t="str">
        <x:f>IF(ABS(D5)&lt;=E5,"OK","FAIL")</x:f>
        <x:v>OK</x:v>
      </x:c>
      <x:c r="G5" s="33" t="str">
        <x:v>4,000,000 ÷ 50 × 0.95</x:v>
      </x:c>
    </x:row>
    <x:row r="6">
      <x:c r="A6" s="32" t="str">
        <x:v>Notional equals TRY available at par</x:v>
      </x:c>
      <x:c r="B6" s="56" t="n">
        <x:f>'Calculation'!B8</x:f>
        <x:v>4000000</x:v>
      </x:c>
      <x:c r="C6" s="56" t="n">
        <x:v>4000000</x:v>
      </x:c>
      <x:c r="D6" s="56" t="n">
        <x:f>B6-C6</x:f>
        <x:v>0</x:v>
      </x:c>
      <x:c r="E6" s="56" t="n">
        <x:v>0.01</x:v>
      </x:c>
      <x:c r="F6" s="33" t="str">
        <x:f>IF(ABS(D6)&lt;=E6,"OK","FAIL")</x:f>
        <x:v>OK</x:v>
      </x:c>
      <x:c r="G6" s="33" t="str">
        <x:v>100,000 × 40</x:v>
      </x:c>
    </x:row>
    <x:row r="7">
      <x:c r="A7" s="32"/>
      <x:c r="B7" s="33"/>
      <x:c r="C7" s="33"/>
      <x:c r="D7" s="33"/>
      <x:c r="E7" s="33"/>
      <x:c r="F7" s="33"/>
      <x:c r="G7" s="33"/>
    </x:row>
    <x:row r="8">
      <x:c r="A8" s="57" t="str">
        <x:v>Overall model status</x:v>
      </x:c>
      <x:c r="B8" s="58" t="str">
        <x:v>Overall model status</x:v>
      </x:c>
      <x:c r="C8" s="58" t="str">
        <x:v>Overall model status</x:v>
      </x:c>
      <x:c r="D8" s="58" t="str">
        <x:v>Overall model status</x:v>
      </x:c>
      <x:c r="E8" s="58" t="str">
        <x:v>Overall model status</x:v>
      </x:c>
      <x:c r="F8" s="58" t="str">
        <x:f>IF(COUNTIF(F4:F6,"FAIL")=0,"OK","FAIL")</x:f>
        <x:v>OK</x:v>
      </x:c>
      <x:c r="G8" s="35"/>
    </x:row>
  </x:sheetData>
  <x:mergeCells>
    <x:mergeCell ref="A1:G1"/>
    <x:mergeCell ref="A8:E8"/>
  </x:mergeCells>
  <x:conditionalFormatting sqref="F4:F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